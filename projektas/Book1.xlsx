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kke\Desktop\"/>
    </mc:Choice>
  </mc:AlternateContent>
  <xr:revisionPtr revIDLastSave="0" documentId="13_ncr:1_{0BF9BE5D-E387-421A-8DCE-8FDC0FAC40C4}" xr6:coauthVersionLast="47" xr6:coauthVersionMax="47" xr10:uidLastSave="{00000000-0000-0000-0000-000000000000}"/>
  <bookViews>
    <workbookView xWindow="-108" yWindow="-108" windowWidth="23256" windowHeight="12456" xr2:uid="{AACC0B53-4E89-41B1-BEED-B44DAA6DF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H38" i="1"/>
  <c r="I38" i="1"/>
  <c r="J38" i="1"/>
  <c r="G39" i="1"/>
  <c r="H39" i="1"/>
  <c r="I39" i="1"/>
  <c r="J39" i="1"/>
  <c r="G40" i="1"/>
  <c r="H40" i="1"/>
  <c r="I40" i="1"/>
  <c r="J40" i="1"/>
  <c r="G41" i="1"/>
  <c r="H41" i="1"/>
  <c r="I41" i="1"/>
  <c r="J41" i="1"/>
  <c r="G42" i="1"/>
  <c r="H42" i="1"/>
  <c r="I42" i="1"/>
  <c r="J42" i="1"/>
  <c r="G43" i="1"/>
  <c r="H43" i="1"/>
  <c r="I43" i="1"/>
  <c r="J43" i="1"/>
  <c r="G44" i="1"/>
  <c r="H44" i="1"/>
  <c r="I44" i="1"/>
  <c r="J44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28" i="1"/>
  <c r="C28" i="1"/>
  <c r="D28" i="1"/>
  <c r="E28" i="1"/>
  <c r="F28" i="1"/>
  <c r="G28" i="1"/>
  <c r="H28" i="1"/>
  <c r="I28" i="1"/>
  <c r="J28" i="1"/>
  <c r="C20" i="1"/>
  <c r="D20" i="1"/>
  <c r="E20" i="1"/>
  <c r="F20" i="1"/>
  <c r="G20" i="1"/>
  <c r="H20" i="1"/>
  <c r="I20" i="1"/>
  <c r="J20" i="1"/>
  <c r="B20" i="1"/>
</calcChain>
</file>

<file path=xl/sharedStrings.xml><?xml version="1.0" encoding="utf-8"?>
<sst xmlns="http://schemas.openxmlformats.org/spreadsheetml/2006/main" count="37" uniqueCount="3">
  <si>
    <t>-</t>
  </si>
  <si>
    <t>ms/g</t>
  </si>
  <si>
    <t>amd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</si>
</sst>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/>
              <a:t>Laiko</a:t>
            </a:r>
            <a:r>
              <a:rPr lang="lt-LT" baseline="0"/>
              <a:t> priklausomybė nuo gijų kiekio (1 nauja parduotuvė)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92</c:v>
                </c:pt>
                <c:pt idx="1">
                  <c:v>104</c:v>
                </c:pt>
                <c:pt idx="2">
                  <c:v>109</c:v>
                </c:pt>
                <c:pt idx="3">
                  <c:v>114</c:v>
                </c:pt>
                <c:pt idx="4">
                  <c:v>119</c:v>
                </c:pt>
                <c:pt idx="5">
                  <c:v>120</c:v>
                </c:pt>
                <c:pt idx="6">
                  <c:v>121</c:v>
                </c:pt>
                <c:pt idx="7">
                  <c:v>129</c:v>
                </c:pt>
                <c:pt idx="8">
                  <c:v>135</c:v>
                </c:pt>
                <c:pt idx="9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FC-4C05-B0AA-9476FFF67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745919"/>
        <c:axId val="549729599"/>
      </c:lineChart>
      <c:catAx>
        <c:axId val="54974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gijų skaičius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29599"/>
        <c:crosses val="autoZero"/>
        <c:auto val="1"/>
        <c:lblAlgn val="ctr"/>
        <c:lblOffset val="100"/>
        <c:noMultiLvlLbl val="0"/>
      </c:catAx>
      <c:valAx>
        <c:axId val="549729599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4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/>
              <a:t>Laiko</a:t>
            </a:r>
            <a:r>
              <a:rPr lang="lt-LT" baseline="0"/>
              <a:t> priklausomybė nuo gijų kiekio (2 naujos parduotuvės)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125</c:v>
                </c:pt>
                <c:pt idx="1">
                  <c:v>151</c:v>
                </c:pt>
                <c:pt idx="2">
                  <c:v>159</c:v>
                </c:pt>
                <c:pt idx="3">
                  <c:v>171</c:v>
                </c:pt>
                <c:pt idx="4">
                  <c:v>169</c:v>
                </c:pt>
                <c:pt idx="5">
                  <c:v>176</c:v>
                </c:pt>
                <c:pt idx="6">
                  <c:v>180</c:v>
                </c:pt>
                <c:pt idx="7">
                  <c:v>187</c:v>
                </c:pt>
                <c:pt idx="8">
                  <c:v>184</c:v>
                </c:pt>
                <c:pt idx="9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5-4D9A-8835-1939E41D633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9745919"/>
        <c:axId val="549729599"/>
      </c:lineChart>
      <c:catAx>
        <c:axId val="54974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gijų skaičius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29599"/>
        <c:crosses val="autoZero"/>
        <c:auto val="1"/>
        <c:lblAlgn val="ctr"/>
        <c:lblOffset val="100"/>
        <c:noMultiLvlLbl val="0"/>
      </c:catAx>
      <c:valAx>
        <c:axId val="549729599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4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/>
              <a:t>Laiko</a:t>
            </a:r>
            <a:r>
              <a:rPr lang="lt-LT" baseline="0"/>
              <a:t> priklausomybė nuo gijų kiekio (4 naujos parduotuvės)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204</c:v>
                </c:pt>
                <c:pt idx="1">
                  <c:v>232</c:v>
                </c:pt>
                <c:pt idx="2">
                  <c:v>229</c:v>
                </c:pt>
                <c:pt idx="3">
                  <c:v>219</c:v>
                </c:pt>
                <c:pt idx="4">
                  <c:v>233</c:v>
                </c:pt>
                <c:pt idx="5">
                  <c:v>240</c:v>
                </c:pt>
                <c:pt idx="6">
                  <c:v>239</c:v>
                </c:pt>
                <c:pt idx="7">
                  <c:v>231</c:v>
                </c:pt>
                <c:pt idx="8">
                  <c:v>249</c:v>
                </c:pt>
                <c:pt idx="9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79-45D0-B303-34D32538576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9745919"/>
        <c:axId val="549729599"/>
      </c:lineChart>
      <c:catAx>
        <c:axId val="54974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gijų skaičius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29599"/>
        <c:crosses val="autoZero"/>
        <c:auto val="1"/>
        <c:lblAlgn val="ctr"/>
        <c:lblOffset val="100"/>
        <c:noMultiLvlLbl val="0"/>
      </c:catAx>
      <c:valAx>
        <c:axId val="549729599"/>
        <c:scaling>
          <c:orientation val="minMax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4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/>
              <a:t>Laiko</a:t>
            </a:r>
            <a:r>
              <a:rPr lang="lt-LT" baseline="0"/>
              <a:t> priklausomybė nuo gijų kiekio (8 naujos parduotuvės)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401</c:v>
                </c:pt>
                <c:pt idx="1">
                  <c:v>409</c:v>
                </c:pt>
                <c:pt idx="2">
                  <c:v>429</c:v>
                </c:pt>
                <c:pt idx="3">
                  <c:v>354</c:v>
                </c:pt>
                <c:pt idx="4">
                  <c:v>358</c:v>
                </c:pt>
                <c:pt idx="5">
                  <c:v>356</c:v>
                </c:pt>
                <c:pt idx="6">
                  <c:v>349</c:v>
                </c:pt>
                <c:pt idx="7">
                  <c:v>348</c:v>
                </c:pt>
                <c:pt idx="8">
                  <c:v>375</c:v>
                </c:pt>
                <c:pt idx="9">
                  <c:v>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C3-426F-86C9-02C4D7107A5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9745919"/>
        <c:axId val="549729599"/>
      </c:lineChart>
      <c:catAx>
        <c:axId val="54974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gijų skaičius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29599"/>
        <c:crosses val="autoZero"/>
        <c:auto val="1"/>
        <c:lblAlgn val="ctr"/>
        <c:lblOffset val="100"/>
        <c:noMultiLvlLbl val="0"/>
      </c:catAx>
      <c:valAx>
        <c:axId val="549729599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4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/>
              <a:t>Laiko</a:t>
            </a:r>
            <a:r>
              <a:rPr lang="lt-LT" baseline="0"/>
              <a:t> priklausomybė nuo gijų kiekio (16 naujų parduotuvių)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Sheet1!$F$2:$F$11</c:f>
              <c:numCache>
                <c:formatCode>General</c:formatCode>
                <c:ptCount val="10"/>
                <c:pt idx="0">
                  <c:v>1047</c:v>
                </c:pt>
                <c:pt idx="1">
                  <c:v>905</c:v>
                </c:pt>
                <c:pt idx="2">
                  <c:v>834</c:v>
                </c:pt>
                <c:pt idx="3">
                  <c:v>827</c:v>
                </c:pt>
                <c:pt idx="4">
                  <c:v>735</c:v>
                </c:pt>
                <c:pt idx="5">
                  <c:v>735</c:v>
                </c:pt>
                <c:pt idx="6">
                  <c:v>751</c:v>
                </c:pt>
                <c:pt idx="7">
                  <c:v>689</c:v>
                </c:pt>
                <c:pt idx="8">
                  <c:v>705</c:v>
                </c:pt>
                <c:pt idx="9">
                  <c:v>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0C-4E67-8F86-C748194853C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9745919"/>
        <c:axId val="549729599"/>
      </c:lineChart>
      <c:catAx>
        <c:axId val="54974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gijų skaičius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29599"/>
        <c:crosses val="autoZero"/>
        <c:auto val="1"/>
        <c:lblAlgn val="ctr"/>
        <c:lblOffset val="100"/>
        <c:noMultiLvlLbl val="0"/>
      </c:catAx>
      <c:valAx>
        <c:axId val="549729599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4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/>
              <a:t>Laiko</a:t>
            </a:r>
            <a:r>
              <a:rPr lang="lt-LT" baseline="0"/>
              <a:t> priklausomybė nuo gijų kiekio (32 naujos parduotuvės)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Sheet1!$A$2:$A$18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48</c:v>
                </c:pt>
                <c:pt idx="15">
                  <c:v>56</c:v>
                </c:pt>
                <c:pt idx="16">
                  <c:v>64</c:v>
                </c:pt>
              </c:numCache>
            </c:numRef>
          </c:cat>
          <c:val>
            <c:numRef>
              <c:f>Sheet1!$G$2:$G$18</c:f>
              <c:numCache>
                <c:formatCode>General</c:formatCode>
                <c:ptCount val="17"/>
                <c:pt idx="0">
                  <c:v>3414</c:v>
                </c:pt>
                <c:pt idx="1">
                  <c:v>2554</c:v>
                </c:pt>
                <c:pt idx="2">
                  <c:v>2143</c:v>
                </c:pt>
                <c:pt idx="3">
                  <c:v>2116</c:v>
                </c:pt>
                <c:pt idx="4">
                  <c:v>1848</c:v>
                </c:pt>
                <c:pt idx="5">
                  <c:v>1650</c:v>
                </c:pt>
                <c:pt idx="6">
                  <c:v>1794</c:v>
                </c:pt>
                <c:pt idx="7">
                  <c:v>1492</c:v>
                </c:pt>
                <c:pt idx="8">
                  <c:v>1601</c:v>
                </c:pt>
                <c:pt idx="9">
                  <c:v>1550</c:v>
                </c:pt>
                <c:pt idx="10">
                  <c:v>1487</c:v>
                </c:pt>
                <c:pt idx="11">
                  <c:v>1537</c:v>
                </c:pt>
                <c:pt idx="12">
                  <c:v>1543</c:v>
                </c:pt>
                <c:pt idx="13">
                  <c:v>1550</c:v>
                </c:pt>
                <c:pt idx="14">
                  <c:v>1564</c:v>
                </c:pt>
                <c:pt idx="15">
                  <c:v>1542</c:v>
                </c:pt>
                <c:pt idx="16">
                  <c:v>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9-4081-A168-7F34799309F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9745919"/>
        <c:axId val="549729599"/>
      </c:lineChart>
      <c:catAx>
        <c:axId val="54974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gijų skaičius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29599"/>
        <c:crosses val="autoZero"/>
        <c:auto val="1"/>
        <c:lblAlgn val="ctr"/>
        <c:lblOffset val="100"/>
        <c:noMultiLvlLbl val="0"/>
      </c:catAx>
      <c:valAx>
        <c:axId val="549729599"/>
        <c:scaling>
          <c:orientation val="minMax"/>
          <c:min val="1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4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/>
              <a:t>Laiko</a:t>
            </a:r>
            <a:r>
              <a:rPr lang="lt-LT" baseline="0"/>
              <a:t> priklausomybė nuo gijų kiekio (64 naujos parduotuvės)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Sheet1!$A$2:$A$18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48</c:v>
                </c:pt>
                <c:pt idx="15">
                  <c:v>56</c:v>
                </c:pt>
                <c:pt idx="16">
                  <c:v>64</c:v>
                </c:pt>
              </c:numCache>
            </c:numRef>
          </c:cat>
          <c:val>
            <c:numRef>
              <c:f>Sheet1!$H$2:$H$18</c:f>
              <c:numCache>
                <c:formatCode>General</c:formatCode>
                <c:ptCount val="17"/>
                <c:pt idx="0">
                  <c:v>11974</c:v>
                </c:pt>
                <c:pt idx="1">
                  <c:v>7932</c:v>
                </c:pt>
                <c:pt idx="2">
                  <c:v>6431</c:v>
                </c:pt>
                <c:pt idx="3">
                  <c:v>6134</c:v>
                </c:pt>
                <c:pt idx="4">
                  <c:v>5530</c:v>
                </c:pt>
                <c:pt idx="5">
                  <c:v>5101</c:v>
                </c:pt>
                <c:pt idx="6">
                  <c:v>4897</c:v>
                </c:pt>
                <c:pt idx="7">
                  <c:v>4458</c:v>
                </c:pt>
                <c:pt idx="8">
                  <c:v>4896</c:v>
                </c:pt>
                <c:pt idx="9">
                  <c:v>4693</c:v>
                </c:pt>
                <c:pt idx="10">
                  <c:v>4075</c:v>
                </c:pt>
                <c:pt idx="11">
                  <c:v>4102</c:v>
                </c:pt>
                <c:pt idx="12">
                  <c:v>4220</c:v>
                </c:pt>
                <c:pt idx="13">
                  <c:v>4551</c:v>
                </c:pt>
                <c:pt idx="14">
                  <c:v>4545</c:v>
                </c:pt>
                <c:pt idx="15">
                  <c:v>4612</c:v>
                </c:pt>
                <c:pt idx="16">
                  <c:v>4697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5-4E3D-9D68-B80A61A9555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9745919"/>
        <c:axId val="549729599"/>
      </c:lineChart>
      <c:catAx>
        <c:axId val="54974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gijų skaičius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29599"/>
        <c:crosses val="autoZero"/>
        <c:auto val="1"/>
        <c:lblAlgn val="ctr"/>
        <c:lblOffset val="100"/>
        <c:noMultiLvlLbl val="0"/>
      </c:catAx>
      <c:valAx>
        <c:axId val="549729599"/>
        <c:scaling>
          <c:orientation val="minMax"/>
          <c:min val="3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4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/>
              <a:t>Laiko</a:t>
            </a:r>
            <a:r>
              <a:rPr lang="lt-LT" baseline="0"/>
              <a:t> priklausomybė nuo gijų kiekio (128 naujos parduotuvės)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Sheet1!$A$2:$A$18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48</c:v>
                </c:pt>
                <c:pt idx="15">
                  <c:v>56</c:v>
                </c:pt>
                <c:pt idx="16">
                  <c:v>64</c:v>
                </c:pt>
              </c:numCache>
            </c:numRef>
          </c:cat>
          <c:val>
            <c:numRef>
              <c:f>Sheet1!$I$2:$I$18</c:f>
              <c:numCache>
                <c:formatCode>General</c:formatCode>
                <c:ptCount val="17"/>
                <c:pt idx="0">
                  <c:v>42795</c:v>
                </c:pt>
                <c:pt idx="1">
                  <c:v>26151</c:v>
                </c:pt>
                <c:pt idx="2">
                  <c:v>21018</c:v>
                </c:pt>
                <c:pt idx="3">
                  <c:v>20347</c:v>
                </c:pt>
                <c:pt idx="4">
                  <c:v>19911</c:v>
                </c:pt>
                <c:pt idx="5">
                  <c:v>17504</c:v>
                </c:pt>
                <c:pt idx="6">
                  <c:v>17998</c:v>
                </c:pt>
                <c:pt idx="7">
                  <c:v>15987</c:v>
                </c:pt>
                <c:pt idx="8">
                  <c:v>16112</c:v>
                </c:pt>
                <c:pt idx="9">
                  <c:v>14520</c:v>
                </c:pt>
                <c:pt idx="10">
                  <c:v>14442</c:v>
                </c:pt>
                <c:pt idx="11">
                  <c:v>12445</c:v>
                </c:pt>
                <c:pt idx="12">
                  <c:v>13254</c:v>
                </c:pt>
                <c:pt idx="13">
                  <c:v>12349</c:v>
                </c:pt>
                <c:pt idx="14">
                  <c:v>12987</c:v>
                </c:pt>
                <c:pt idx="15">
                  <c:v>12748</c:v>
                </c:pt>
                <c:pt idx="16">
                  <c:v>12947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EF-4ED0-A41B-5419956D0E8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9745919"/>
        <c:axId val="549729599"/>
      </c:lineChart>
      <c:catAx>
        <c:axId val="54974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gijų skaičius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29599"/>
        <c:crosses val="autoZero"/>
        <c:auto val="1"/>
        <c:lblAlgn val="ctr"/>
        <c:lblOffset val="100"/>
        <c:noMultiLvlLbl val="0"/>
      </c:catAx>
      <c:valAx>
        <c:axId val="549729599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4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/>
              <a:t>Laiko</a:t>
            </a:r>
            <a:r>
              <a:rPr lang="lt-LT" baseline="0"/>
              <a:t> priklausomybė nuo gijų kiekio (256 naujos parduotuvės)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Sheet1!$A$2:$A$18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16</c:v>
                </c:pt>
                <c:pt idx="11">
                  <c:v>24</c:v>
                </c:pt>
                <c:pt idx="12">
                  <c:v>32</c:v>
                </c:pt>
                <c:pt idx="13">
                  <c:v>40</c:v>
                </c:pt>
                <c:pt idx="14">
                  <c:v>48</c:v>
                </c:pt>
                <c:pt idx="15">
                  <c:v>56</c:v>
                </c:pt>
                <c:pt idx="16">
                  <c:v>64</c:v>
                </c:pt>
              </c:numCache>
            </c:numRef>
          </c:cat>
          <c:val>
            <c:numRef>
              <c:f>Sheet1!$J$2:$J$18</c:f>
              <c:numCache>
                <c:formatCode>General</c:formatCode>
                <c:ptCount val="17"/>
                <c:pt idx="0">
                  <c:v>157036</c:v>
                </c:pt>
                <c:pt idx="1">
                  <c:v>94756</c:v>
                </c:pt>
                <c:pt idx="2">
                  <c:v>73955</c:v>
                </c:pt>
                <c:pt idx="3">
                  <c:v>73256</c:v>
                </c:pt>
                <c:pt idx="4">
                  <c:v>74334</c:v>
                </c:pt>
                <c:pt idx="5">
                  <c:v>73149</c:v>
                </c:pt>
                <c:pt idx="6">
                  <c:v>69349</c:v>
                </c:pt>
                <c:pt idx="7">
                  <c:v>63511</c:v>
                </c:pt>
                <c:pt idx="8">
                  <c:v>61378</c:v>
                </c:pt>
                <c:pt idx="9">
                  <c:v>58974</c:v>
                </c:pt>
                <c:pt idx="10">
                  <c:v>51011</c:v>
                </c:pt>
                <c:pt idx="11">
                  <c:v>45315</c:v>
                </c:pt>
                <c:pt idx="12">
                  <c:v>45077</c:v>
                </c:pt>
                <c:pt idx="13">
                  <c:v>43626</c:v>
                </c:pt>
                <c:pt idx="14">
                  <c:v>44832</c:v>
                </c:pt>
                <c:pt idx="15">
                  <c:v>44457</c:v>
                </c:pt>
                <c:pt idx="16">
                  <c:v>45965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D4-4867-8FBD-7EA7ADCD571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9745919"/>
        <c:axId val="549729599"/>
      </c:lineChart>
      <c:catAx>
        <c:axId val="54974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gijų skaičius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29599"/>
        <c:crosses val="autoZero"/>
        <c:auto val="1"/>
        <c:lblAlgn val="ctr"/>
        <c:lblOffset val="100"/>
        <c:noMultiLvlLbl val="0"/>
      </c:catAx>
      <c:valAx>
        <c:axId val="549729599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4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365760</xdr:colOff>
      <xdr:row>0</xdr:row>
      <xdr:rowOff>102870</xdr:rowOff>
    </xdr:from>
    <xdr:to>
      <xdr:col>18</xdr:col>
      <xdr:colOff>60960</xdr:colOff>
      <xdr:row>15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ABFCDC-FC9D-B6DC-D3EC-41CF00302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350520</xdr:colOff>
      <xdr:row>16</xdr:row>
      <xdr:rowOff>68580</xdr:rowOff>
    </xdr:from>
    <xdr:to>
      <xdr:col>18</xdr:col>
      <xdr:colOff>45720</xdr:colOff>
      <xdr:row>31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D746C0-D12C-4AC2-BDC3-BE0E3A7CD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274320</xdr:colOff>
      <xdr:row>32</xdr:row>
      <xdr:rowOff>121920</xdr:rowOff>
    </xdr:from>
    <xdr:to>
      <xdr:col>17</xdr:col>
      <xdr:colOff>579120</xdr:colOff>
      <xdr:row>47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45A6AE-FA02-41FF-BC4A-517906319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289560</xdr:colOff>
      <xdr:row>48</xdr:row>
      <xdr:rowOff>22860</xdr:rowOff>
    </xdr:from>
    <xdr:to>
      <xdr:col>17</xdr:col>
      <xdr:colOff>594360</xdr:colOff>
      <xdr:row>63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AF2ADC-6A87-47FB-B8F1-32C479290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17</xdr:col>
      <xdr:colOff>304800</xdr:colOff>
      <xdr:row>80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498007-174A-43B0-8770-5C3B6DCFA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81</xdr:row>
      <xdr:rowOff>0</xdr:rowOff>
    </xdr:from>
    <xdr:to>
      <xdr:col>17</xdr:col>
      <xdr:colOff>304800</xdr:colOff>
      <xdr:row>96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8817A7-9901-4271-B679-6ED1F1D4C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98</xdr:row>
      <xdr:rowOff>0</xdr:rowOff>
    </xdr:from>
    <xdr:to>
      <xdr:col>17</xdr:col>
      <xdr:colOff>304800</xdr:colOff>
      <xdr:row>113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03E9214-76E3-4801-AABA-125CDFAD3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115</xdr:row>
      <xdr:rowOff>0</xdr:rowOff>
    </xdr:from>
    <xdr:to>
      <xdr:col>17</xdr:col>
      <xdr:colOff>304800</xdr:colOff>
      <xdr:row>130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031E83-536D-4D41-9A13-D3CC5D0307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0</xdr:colOff>
      <xdr:row>133</xdr:row>
      <xdr:rowOff>0</xdr:rowOff>
    </xdr:from>
    <xdr:to>
      <xdr:col>17</xdr:col>
      <xdr:colOff>304800</xdr:colOff>
      <xdr:row>148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295CB59-C517-46CD-85ED-6335B8FB2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3DE04-6566-4D5C-B0D0-A42C01C2AAB1}">
  <dimension ref="A1:J44"/>
  <sheetViews>
    <sheetView tabSelected="1" topLeftCell="A7" workbookViewId="0">
      <selection activeCell="J26" sqref="J26"/>
    </sheetView>
  </sheetViews>
  <sheetFormatPr defaultRowHeight="14.4" x14ac:dyDescent="0.3"/>
  <cols>
    <col min="2" max="10" width="9.5546875" bestFit="1" customWidth="1"/>
  </cols>
  <sheetData>
    <row r="1" spans="1:10" x14ac:dyDescent="0.3">
      <c r="A1" t="s">
        <v>1</v>
      </c>
      <c r="B1" s="1">
        <v>1</v>
      </c>
      <c r="C1" s="1">
        <v>2</v>
      </c>
      <c r="D1" s="1">
        <v>4</v>
      </c>
      <c r="E1" s="1">
        <v>8</v>
      </c>
      <c r="F1" s="1">
        <v>16</v>
      </c>
      <c r="G1" s="1">
        <v>32</v>
      </c>
      <c r="H1" s="1">
        <v>64</v>
      </c>
      <c r="I1" s="1">
        <v>128</v>
      </c>
      <c r="J1" s="1">
        <v>256</v>
      </c>
    </row>
    <row r="2" spans="1:10" x14ac:dyDescent="0.3">
      <c r="A2" s="1">
        <v>1</v>
      </c>
      <c r="B2">
        <v>92</v>
      </c>
      <c r="C2">
        <v>125</v>
      </c>
      <c r="D2">
        <v>204</v>
      </c>
      <c r="E2">
        <v>401</v>
      </c>
      <c r="F2">
        <v>1047</v>
      </c>
      <c r="G2">
        <v>3414</v>
      </c>
      <c r="H2">
        <v>11974</v>
      </c>
      <c r="I2">
        <v>42795</v>
      </c>
      <c r="J2">
        <v>157036</v>
      </c>
    </row>
    <row r="3" spans="1:10" x14ac:dyDescent="0.3">
      <c r="A3" s="1">
        <v>2</v>
      </c>
      <c r="B3">
        <v>104</v>
      </c>
      <c r="C3">
        <v>151</v>
      </c>
      <c r="D3">
        <v>232</v>
      </c>
      <c r="E3">
        <v>409</v>
      </c>
      <c r="F3">
        <v>905</v>
      </c>
      <c r="G3">
        <v>2554</v>
      </c>
      <c r="H3">
        <v>7932</v>
      </c>
      <c r="I3">
        <v>26151</v>
      </c>
      <c r="J3">
        <v>94756</v>
      </c>
    </row>
    <row r="4" spans="1:10" x14ac:dyDescent="0.3">
      <c r="A4" s="1">
        <v>3</v>
      </c>
      <c r="B4">
        <v>109</v>
      </c>
      <c r="C4">
        <v>159</v>
      </c>
      <c r="D4">
        <v>229</v>
      </c>
      <c r="E4">
        <v>429</v>
      </c>
      <c r="F4">
        <v>834</v>
      </c>
      <c r="G4">
        <v>2143</v>
      </c>
      <c r="H4">
        <v>6431</v>
      </c>
      <c r="I4">
        <v>21018</v>
      </c>
      <c r="J4">
        <v>73955</v>
      </c>
    </row>
    <row r="5" spans="1:10" x14ac:dyDescent="0.3">
      <c r="A5" s="1">
        <v>4</v>
      </c>
      <c r="B5">
        <v>114</v>
      </c>
      <c r="C5">
        <v>171</v>
      </c>
      <c r="D5">
        <v>219</v>
      </c>
      <c r="E5">
        <v>354</v>
      </c>
      <c r="F5">
        <v>827</v>
      </c>
      <c r="G5">
        <v>2116</v>
      </c>
      <c r="H5">
        <v>6134</v>
      </c>
      <c r="I5">
        <v>20347</v>
      </c>
      <c r="J5">
        <v>73256</v>
      </c>
    </row>
    <row r="6" spans="1:10" x14ac:dyDescent="0.3">
      <c r="A6" s="1">
        <v>5</v>
      </c>
      <c r="B6">
        <v>119</v>
      </c>
      <c r="C6">
        <v>169</v>
      </c>
      <c r="D6">
        <v>233</v>
      </c>
      <c r="E6">
        <v>358</v>
      </c>
      <c r="F6">
        <v>735</v>
      </c>
      <c r="G6">
        <v>1848</v>
      </c>
      <c r="H6">
        <v>5530</v>
      </c>
      <c r="I6">
        <v>19911</v>
      </c>
      <c r="J6">
        <v>74334</v>
      </c>
    </row>
    <row r="7" spans="1:10" x14ac:dyDescent="0.3">
      <c r="A7" s="1">
        <v>6</v>
      </c>
      <c r="B7">
        <v>120</v>
      </c>
      <c r="C7">
        <v>176</v>
      </c>
      <c r="D7">
        <v>240</v>
      </c>
      <c r="E7">
        <v>356</v>
      </c>
      <c r="F7">
        <v>735</v>
      </c>
      <c r="G7">
        <v>1650</v>
      </c>
      <c r="H7">
        <v>5101</v>
      </c>
      <c r="I7">
        <v>17504</v>
      </c>
      <c r="J7">
        <v>73149</v>
      </c>
    </row>
    <row r="8" spans="1:10" x14ac:dyDescent="0.3">
      <c r="A8" s="1">
        <v>7</v>
      </c>
      <c r="B8">
        <v>121</v>
      </c>
      <c r="C8">
        <v>180</v>
      </c>
      <c r="D8">
        <v>239</v>
      </c>
      <c r="E8">
        <v>349</v>
      </c>
      <c r="F8">
        <v>751</v>
      </c>
      <c r="G8">
        <v>1794</v>
      </c>
      <c r="H8">
        <v>4897</v>
      </c>
      <c r="I8">
        <v>17998</v>
      </c>
      <c r="J8">
        <v>69349</v>
      </c>
    </row>
    <row r="9" spans="1:10" x14ac:dyDescent="0.3">
      <c r="A9" s="1">
        <v>8</v>
      </c>
      <c r="B9">
        <v>129</v>
      </c>
      <c r="C9">
        <v>187</v>
      </c>
      <c r="D9">
        <v>231</v>
      </c>
      <c r="E9">
        <v>348</v>
      </c>
      <c r="F9">
        <v>689</v>
      </c>
      <c r="G9">
        <v>1492</v>
      </c>
      <c r="H9">
        <v>4458</v>
      </c>
      <c r="I9">
        <v>15987</v>
      </c>
      <c r="J9">
        <v>63511</v>
      </c>
    </row>
    <row r="10" spans="1:10" x14ac:dyDescent="0.3">
      <c r="A10" s="1">
        <v>9</v>
      </c>
      <c r="B10">
        <v>135</v>
      </c>
      <c r="C10">
        <v>184</v>
      </c>
      <c r="D10">
        <v>249</v>
      </c>
      <c r="E10">
        <v>375</v>
      </c>
      <c r="F10">
        <v>705</v>
      </c>
      <c r="G10">
        <v>1601</v>
      </c>
      <c r="H10">
        <v>4896</v>
      </c>
      <c r="I10">
        <v>16112</v>
      </c>
      <c r="J10">
        <v>61378</v>
      </c>
    </row>
    <row r="11" spans="1:10" x14ac:dyDescent="0.3">
      <c r="A11" s="1">
        <v>10</v>
      </c>
      <c r="B11">
        <v>135</v>
      </c>
      <c r="C11">
        <v>189</v>
      </c>
      <c r="D11">
        <v>245</v>
      </c>
      <c r="E11">
        <v>383</v>
      </c>
      <c r="F11">
        <v>701</v>
      </c>
      <c r="G11">
        <v>1550</v>
      </c>
      <c r="H11">
        <v>4693</v>
      </c>
      <c r="I11">
        <v>14520</v>
      </c>
      <c r="J11">
        <v>58974</v>
      </c>
    </row>
    <row r="12" spans="1:10" x14ac:dyDescent="0.3">
      <c r="A12" s="2">
        <v>16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>
        <v>1487</v>
      </c>
      <c r="H12">
        <v>4075</v>
      </c>
      <c r="I12">
        <v>14442</v>
      </c>
      <c r="J12">
        <v>51011</v>
      </c>
    </row>
    <row r="13" spans="1:10" x14ac:dyDescent="0.3">
      <c r="A13" s="2">
        <v>24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>
        <v>1537</v>
      </c>
      <c r="H13">
        <v>4102</v>
      </c>
      <c r="I13">
        <v>12445</v>
      </c>
      <c r="J13">
        <v>45315</v>
      </c>
    </row>
    <row r="14" spans="1:10" x14ac:dyDescent="0.3">
      <c r="A14" s="2">
        <v>32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>
        <v>1543</v>
      </c>
      <c r="H14">
        <v>4220</v>
      </c>
      <c r="I14">
        <v>13254</v>
      </c>
      <c r="J14">
        <v>45077</v>
      </c>
    </row>
    <row r="15" spans="1:10" x14ac:dyDescent="0.3">
      <c r="A15" s="2">
        <v>40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>
        <v>1550</v>
      </c>
      <c r="H15">
        <v>4551</v>
      </c>
      <c r="I15">
        <v>12349</v>
      </c>
      <c r="J15">
        <v>43626</v>
      </c>
    </row>
    <row r="16" spans="1:10" x14ac:dyDescent="0.3">
      <c r="A16" s="2">
        <v>48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>
        <v>1564</v>
      </c>
      <c r="H16">
        <v>4545</v>
      </c>
      <c r="I16">
        <v>12987</v>
      </c>
      <c r="J16">
        <v>44832</v>
      </c>
    </row>
    <row r="17" spans="1:10" x14ac:dyDescent="0.3">
      <c r="A17" s="2">
        <v>56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>
        <v>1542</v>
      </c>
      <c r="H17">
        <v>4612</v>
      </c>
      <c r="I17">
        <v>12748</v>
      </c>
      <c r="J17">
        <v>44457</v>
      </c>
    </row>
    <row r="18" spans="1:10" x14ac:dyDescent="0.3">
      <c r="A18" s="2">
        <v>64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>
        <v>1699</v>
      </c>
      <c r="H18">
        <v>4697</v>
      </c>
      <c r="I18">
        <v>12947</v>
      </c>
      <c r="J18">
        <v>45965</v>
      </c>
    </row>
    <row r="20" spans="1:10" x14ac:dyDescent="0.3">
      <c r="B20">
        <f>(B2/MIN(B2:B18))</f>
        <v>1</v>
      </c>
      <c r="C20">
        <f t="shared" ref="C20:J20" si="0">(C2/MIN(C2:C18))</f>
        <v>1</v>
      </c>
      <c r="D20">
        <f t="shared" si="0"/>
        <v>1</v>
      </c>
      <c r="E20">
        <f t="shared" si="0"/>
        <v>1.1522988505747127</v>
      </c>
      <c r="F20">
        <f t="shared" si="0"/>
        <v>1.5195936139332367</v>
      </c>
      <c r="G20">
        <f t="shared" si="0"/>
        <v>2.2958977807666443</v>
      </c>
      <c r="H20">
        <f t="shared" si="0"/>
        <v>2.9384049079754599</v>
      </c>
      <c r="I20">
        <f t="shared" si="0"/>
        <v>3.4654627905093531</v>
      </c>
      <c r="J20">
        <f t="shared" si="0"/>
        <v>3.5995965708522442</v>
      </c>
    </row>
    <row r="24" spans="1:10" x14ac:dyDescent="0.3">
      <c r="B24">
        <v>55</v>
      </c>
      <c r="C24">
        <v>65</v>
      </c>
      <c r="D24">
        <v>75</v>
      </c>
      <c r="E24">
        <v>82</v>
      </c>
      <c r="F24">
        <v>86</v>
      </c>
      <c r="G24">
        <v>89</v>
      </c>
      <c r="H24">
        <v>91</v>
      </c>
      <c r="I24">
        <v>92</v>
      </c>
      <c r="J24">
        <v>94</v>
      </c>
    </row>
    <row r="25" spans="1:10" x14ac:dyDescent="0.3">
      <c r="B25">
        <v>45</v>
      </c>
      <c r="C25">
        <v>35</v>
      </c>
      <c r="D25">
        <v>25</v>
      </c>
      <c r="E25">
        <v>18</v>
      </c>
      <c r="F25">
        <v>14</v>
      </c>
      <c r="G25">
        <v>11</v>
      </c>
      <c r="H25">
        <v>9</v>
      </c>
      <c r="I25">
        <v>8</v>
      </c>
      <c r="J25">
        <v>6</v>
      </c>
    </row>
    <row r="28" spans="1:10" x14ac:dyDescent="0.3">
      <c r="A28" t="s">
        <v>2</v>
      </c>
      <c r="B28">
        <f t="shared" ref="B28:I28" si="1">1/((B$25/100)+(B$24/100/$A2))</f>
        <v>1</v>
      </c>
      <c r="C28">
        <f t="shared" si="1"/>
        <v>1</v>
      </c>
      <c r="D28">
        <f t="shared" si="1"/>
        <v>1</v>
      </c>
      <c r="E28">
        <f t="shared" si="1"/>
        <v>1</v>
      </c>
      <c r="F28">
        <f t="shared" si="1"/>
        <v>1</v>
      </c>
      <c r="G28">
        <f t="shared" si="1"/>
        <v>1</v>
      </c>
      <c r="H28">
        <f t="shared" si="1"/>
        <v>1</v>
      </c>
      <c r="I28">
        <f t="shared" si="1"/>
        <v>1</v>
      </c>
      <c r="J28">
        <f>1/((J$25/100)+(J$24/100/$A2))</f>
        <v>1</v>
      </c>
    </row>
    <row r="29" spans="1:10" x14ac:dyDescent="0.3">
      <c r="A29">
        <v>2</v>
      </c>
      <c r="B29" s="3">
        <f t="shared" ref="B29:J29" si="2">1/((B$25/100)+(B$24/100/$A3))</f>
        <v>1.3793103448275861</v>
      </c>
      <c r="C29" s="3">
        <f t="shared" si="2"/>
        <v>1.4814814814814814</v>
      </c>
      <c r="D29" s="3">
        <f t="shared" si="2"/>
        <v>1.6</v>
      </c>
      <c r="E29" s="3">
        <f t="shared" si="2"/>
        <v>1.6949152542372883</v>
      </c>
      <c r="F29" s="3">
        <f t="shared" si="2"/>
        <v>1.7543859649122806</v>
      </c>
      <c r="G29" s="3">
        <f t="shared" si="2"/>
        <v>1.8018018018018016</v>
      </c>
      <c r="H29" s="3">
        <f t="shared" si="2"/>
        <v>1.8348623853211008</v>
      </c>
      <c r="I29" s="3">
        <f t="shared" si="2"/>
        <v>1.8518518518518516</v>
      </c>
      <c r="J29" s="3">
        <f t="shared" si="2"/>
        <v>1.8867924528301885</v>
      </c>
    </row>
    <row r="30" spans="1:10" x14ac:dyDescent="0.3">
      <c r="A30">
        <v>3</v>
      </c>
      <c r="B30" s="3">
        <f t="shared" ref="B30:J30" si="3">1/((B$25/100)+(B$24/100/$A4))</f>
        <v>1.5789473684210527</v>
      </c>
      <c r="C30" s="3">
        <f t="shared" si="3"/>
        <v>1.7647058823529411</v>
      </c>
      <c r="D30" s="3">
        <f t="shared" si="3"/>
        <v>2</v>
      </c>
      <c r="E30" s="3">
        <f t="shared" si="3"/>
        <v>2.2058823529411766</v>
      </c>
      <c r="F30" s="3">
        <f t="shared" si="3"/>
        <v>2.34375</v>
      </c>
      <c r="G30" s="3">
        <f t="shared" si="3"/>
        <v>2.459016393442623</v>
      </c>
      <c r="H30" s="3">
        <f t="shared" si="3"/>
        <v>2.5423728813559325</v>
      </c>
      <c r="I30" s="3">
        <f t="shared" si="3"/>
        <v>2.5862068965517238</v>
      </c>
      <c r="J30" s="3">
        <f t="shared" si="3"/>
        <v>2.6785714285714288</v>
      </c>
    </row>
    <row r="31" spans="1:10" x14ac:dyDescent="0.3">
      <c r="A31">
        <v>4</v>
      </c>
      <c r="B31" s="3">
        <f t="shared" ref="B31:J31" si="4">1/((B$25/100)+(B$24/100/$A5))</f>
        <v>1.7021276595744681</v>
      </c>
      <c r="C31" s="3">
        <f t="shared" si="4"/>
        <v>1.9512195121951221</v>
      </c>
      <c r="D31" s="3">
        <f t="shared" si="4"/>
        <v>2.2857142857142856</v>
      </c>
      <c r="E31" s="3">
        <f t="shared" si="4"/>
        <v>2.5974025974025974</v>
      </c>
      <c r="F31" s="3">
        <f t="shared" si="4"/>
        <v>2.8169014084507045</v>
      </c>
      <c r="G31" s="3">
        <f t="shared" si="4"/>
        <v>3.007518796992481</v>
      </c>
      <c r="H31" s="3">
        <f t="shared" si="4"/>
        <v>3.1496062992125982</v>
      </c>
      <c r="I31" s="3">
        <f t="shared" si="4"/>
        <v>3.2258064516129035</v>
      </c>
      <c r="J31" s="3">
        <f t="shared" si="4"/>
        <v>3.3898305084745766</v>
      </c>
    </row>
    <row r="32" spans="1:10" x14ac:dyDescent="0.3">
      <c r="A32">
        <v>5</v>
      </c>
      <c r="B32" s="3">
        <f t="shared" ref="B32:J32" si="5">1/((B$25/100)+(B$24/100/$A6))</f>
        <v>1.7857142857142856</v>
      </c>
      <c r="C32" s="3">
        <f t="shared" si="5"/>
        <v>2.0833333333333335</v>
      </c>
      <c r="D32" s="3">
        <f t="shared" si="5"/>
        <v>2.5</v>
      </c>
      <c r="E32" s="3">
        <f t="shared" si="5"/>
        <v>2.9069767441860468</v>
      </c>
      <c r="F32" s="3">
        <f t="shared" si="5"/>
        <v>3.2051282051282053</v>
      </c>
      <c r="G32" s="3">
        <f t="shared" si="5"/>
        <v>3.4722222222222223</v>
      </c>
      <c r="H32" s="3">
        <f t="shared" si="5"/>
        <v>3.6764705882352939</v>
      </c>
      <c r="I32" s="3">
        <f t="shared" si="5"/>
        <v>3.7878787878787876</v>
      </c>
      <c r="J32" s="3">
        <f t="shared" si="5"/>
        <v>4.032258064516129</v>
      </c>
    </row>
    <row r="33" spans="1:10" x14ac:dyDescent="0.3">
      <c r="A33">
        <v>6</v>
      </c>
      <c r="B33" s="3">
        <f t="shared" ref="B33:J33" si="6">1/((B$25/100)+(B$24/100/$A7))</f>
        <v>1.8461538461538458</v>
      </c>
      <c r="C33" s="3">
        <f t="shared" si="6"/>
        <v>2.1818181818181821</v>
      </c>
      <c r="D33" s="3">
        <f t="shared" si="6"/>
        <v>2.6666666666666665</v>
      </c>
      <c r="E33" s="3">
        <f t="shared" si="6"/>
        <v>3.1578947368421053</v>
      </c>
      <c r="F33" s="3">
        <f t="shared" si="6"/>
        <v>3.5294117647058822</v>
      </c>
      <c r="G33" s="3">
        <f t="shared" si="6"/>
        <v>3.8709677419354835</v>
      </c>
      <c r="H33" s="3">
        <f t="shared" si="6"/>
        <v>4.1379310344827589</v>
      </c>
      <c r="I33" s="3">
        <f t="shared" si="6"/>
        <v>4.2857142857142856</v>
      </c>
      <c r="J33" s="3">
        <f t="shared" si="6"/>
        <v>4.6153846153846159</v>
      </c>
    </row>
    <row r="34" spans="1:10" x14ac:dyDescent="0.3">
      <c r="A34">
        <v>7</v>
      </c>
      <c r="B34" s="3">
        <f t="shared" ref="B34:J34" si="7">1/((B$25/100)+(B$24/100/$A8))</f>
        <v>1.8918918918918919</v>
      </c>
      <c r="C34" s="3">
        <f t="shared" si="7"/>
        <v>2.2580645161290325</v>
      </c>
      <c r="D34" s="3">
        <f t="shared" si="7"/>
        <v>2.8</v>
      </c>
      <c r="E34" s="3">
        <f t="shared" si="7"/>
        <v>3.3653846153846154</v>
      </c>
      <c r="F34" s="3">
        <f t="shared" si="7"/>
        <v>3.8043478260869561</v>
      </c>
      <c r="G34" s="3">
        <f t="shared" si="7"/>
        <v>4.2168674698795181</v>
      </c>
      <c r="H34" s="3">
        <f t="shared" si="7"/>
        <v>4.5454545454545459</v>
      </c>
      <c r="I34" s="3">
        <f t="shared" si="7"/>
        <v>4.7297297297297298</v>
      </c>
      <c r="J34" s="3">
        <f t="shared" si="7"/>
        <v>5.1470588235294121</v>
      </c>
    </row>
    <row r="35" spans="1:10" x14ac:dyDescent="0.3">
      <c r="A35">
        <v>8</v>
      </c>
      <c r="B35" s="3">
        <f t="shared" ref="B35:J35" si="8">1/((B$25/100)+(B$24/100/$A9))</f>
        <v>1.9277108433734937</v>
      </c>
      <c r="C35" s="3">
        <f t="shared" si="8"/>
        <v>2.318840579710145</v>
      </c>
      <c r="D35" s="3">
        <f t="shared" si="8"/>
        <v>2.9090909090909092</v>
      </c>
      <c r="E35" s="3">
        <f t="shared" si="8"/>
        <v>3.5398230088495577</v>
      </c>
      <c r="F35" s="3">
        <f t="shared" si="8"/>
        <v>4.0404040404040407</v>
      </c>
      <c r="G35" s="3">
        <f t="shared" si="8"/>
        <v>4.5197740112994351</v>
      </c>
      <c r="H35" s="3">
        <f t="shared" si="8"/>
        <v>4.9079754601226995</v>
      </c>
      <c r="I35" s="3">
        <f t="shared" si="8"/>
        <v>5.1282051282051277</v>
      </c>
      <c r="J35" s="3">
        <f t="shared" si="8"/>
        <v>5.6338028169014089</v>
      </c>
    </row>
    <row r="36" spans="1:10" x14ac:dyDescent="0.3">
      <c r="A36">
        <v>9</v>
      </c>
      <c r="B36" s="3">
        <f t="shared" ref="B36:J36" si="9">1/((B$25/100)+(B$24/100/$A10))</f>
        <v>1.956521739130435</v>
      </c>
      <c r="C36" s="3">
        <f t="shared" si="9"/>
        <v>2.3684210526315788</v>
      </c>
      <c r="D36" s="3">
        <f t="shared" si="9"/>
        <v>3</v>
      </c>
      <c r="E36" s="3">
        <f t="shared" si="9"/>
        <v>3.6885245901639347</v>
      </c>
      <c r="F36" s="3">
        <f t="shared" si="9"/>
        <v>4.2452830188679238</v>
      </c>
      <c r="G36" s="3">
        <f t="shared" si="9"/>
        <v>4.787234042553191</v>
      </c>
      <c r="H36" s="3">
        <f t="shared" si="9"/>
        <v>5.2325581395348832</v>
      </c>
      <c r="I36" s="3">
        <f t="shared" si="9"/>
        <v>5.48780487804878</v>
      </c>
      <c r="J36" s="3">
        <f t="shared" si="9"/>
        <v>6.0810810810810807</v>
      </c>
    </row>
    <row r="37" spans="1:10" x14ac:dyDescent="0.3">
      <c r="A37">
        <v>10</v>
      </c>
      <c r="B37" s="3">
        <f t="shared" ref="B37:J37" si="10">1/((B$25/100)+(B$24/100/$A11))</f>
        <v>1.9801980198019802</v>
      </c>
      <c r="C37" s="3">
        <f t="shared" si="10"/>
        <v>2.4096385542168677</v>
      </c>
      <c r="D37" s="3">
        <f t="shared" si="10"/>
        <v>3.0769230769230766</v>
      </c>
      <c r="E37" s="3">
        <f t="shared" si="10"/>
        <v>3.8167938931297707</v>
      </c>
      <c r="F37" s="3">
        <f t="shared" si="10"/>
        <v>4.4247787610619467</v>
      </c>
      <c r="G37" s="3">
        <f t="shared" si="10"/>
        <v>5.0251256281407031</v>
      </c>
      <c r="H37" s="3">
        <f t="shared" si="10"/>
        <v>5.5248618784530388</v>
      </c>
      <c r="I37" s="3">
        <f t="shared" si="10"/>
        <v>5.8139534883720936</v>
      </c>
      <c r="J37" s="3">
        <f t="shared" si="10"/>
        <v>6.4935064935064934</v>
      </c>
    </row>
    <row r="38" spans="1:10" x14ac:dyDescent="0.3">
      <c r="A38">
        <v>16</v>
      </c>
      <c r="B38" s="3"/>
      <c r="C38" s="3"/>
      <c r="D38" s="3"/>
      <c r="E38" s="3"/>
      <c r="F38" s="3"/>
      <c r="G38" s="3">
        <f t="shared" ref="G38:J38" si="11">1/((G$25/100)+(G$24/100/$A12))</f>
        <v>6.0377358490566042</v>
      </c>
      <c r="H38" s="3">
        <f t="shared" si="11"/>
        <v>6.8085106382978724</v>
      </c>
      <c r="I38" s="3">
        <f t="shared" si="11"/>
        <v>7.2727272727272725</v>
      </c>
      <c r="J38" s="3">
        <f t="shared" si="11"/>
        <v>8.4210526315789469</v>
      </c>
    </row>
    <row r="39" spans="1:10" x14ac:dyDescent="0.3">
      <c r="A39">
        <v>24</v>
      </c>
      <c r="B39" s="3"/>
      <c r="C39" s="3"/>
      <c r="D39" s="3"/>
      <c r="E39" s="3"/>
      <c r="F39" s="3"/>
      <c r="G39" s="3">
        <f t="shared" ref="G39:J39" si="12">1/((G$25/100)+(G$24/100/$A13))</f>
        <v>6.7988668555240785</v>
      </c>
      <c r="H39" s="3">
        <f t="shared" si="12"/>
        <v>7.8175895765472303</v>
      </c>
      <c r="I39" s="3">
        <f t="shared" si="12"/>
        <v>8.4507042253521121</v>
      </c>
      <c r="J39" s="3">
        <f t="shared" si="12"/>
        <v>10.08403361344538</v>
      </c>
    </row>
    <row r="40" spans="1:10" x14ac:dyDescent="0.3">
      <c r="A40">
        <v>32</v>
      </c>
      <c r="B40" s="3"/>
      <c r="C40" s="3"/>
      <c r="D40" s="3"/>
      <c r="E40" s="3"/>
      <c r="F40" s="3"/>
      <c r="G40" s="3">
        <f t="shared" ref="G40:J40" si="13">1/((G$25/100)+(G$24/100/$A14))</f>
        <v>7.2562358276643986</v>
      </c>
      <c r="H40" s="3">
        <f t="shared" si="13"/>
        <v>8.4432717678100264</v>
      </c>
      <c r="I40" s="3">
        <f t="shared" si="13"/>
        <v>9.1954022988505741</v>
      </c>
      <c r="J40" s="3">
        <f t="shared" si="13"/>
        <v>11.18881118881119</v>
      </c>
    </row>
    <row r="41" spans="1:10" x14ac:dyDescent="0.3">
      <c r="A41">
        <v>40</v>
      </c>
      <c r="B41" s="3"/>
      <c r="C41" s="3"/>
      <c r="D41" s="3"/>
      <c r="E41" s="3"/>
      <c r="F41" s="3"/>
      <c r="G41" s="3">
        <f t="shared" ref="G41:J41" si="14">1/((G$25/100)+(G$24/100/$A15))</f>
        <v>7.5614366729678633</v>
      </c>
      <c r="H41" s="3">
        <f t="shared" si="14"/>
        <v>8.8691796008869197</v>
      </c>
      <c r="I41" s="3">
        <f t="shared" si="14"/>
        <v>9.7087378640776691</v>
      </c>
      <c r="J41" s="3">
        <f t="shared" si="14"/>
        <v>11.976047904191619</v>
      </c>
    </row>
    <row r="42" spans="1:10" x14ac:dyDescent="0.3">
      <c r="A42">
        <v>48</v>
      </c>
      <c r="B42" s="3"/>
      <c r="C42" s="3"/>
      <c r="D42" s="3"/>
      <c r="E42" s="3"/>
      <c r="F42" s="3"/>
      <c r="G42" s="3">
        <f t="shared" ref="G42:J42" si="15">1/((G$25/100)+(G$24/100/$A16))</f>
        <v>7.7795786061588332</v>
      </c>
      <c r="H42" s="3">
        <f t="shared" si="15"/>
        <v>9.1778202676864247</v>
      </c>
      <c r="I42" s="3">
        <f t="shared" si="15"/>
        <v>10.084033613445378</v>
      </c>
      <c r="J42" s="3">
        <f t="shared" si="15"/>
        <v>12.565445026178011</v>
      </c>
    </row>
    <row r="43" spans="1:10" x14ac:dyDescent="0.3">
      <c r="A43">
        <v>54</v>
      </c>
      <c r="B43" s="3"/>
      <c r="C43" s="3"/>
      <c r="D43" s="3"/>
      <c r="E43" s="3"/>
      <c r="F43" s="3"/>
      <c r="G43" s="3">
        <f t="shared" ref="G43:J43" si="16">1/((G$25/100)+(G$24/100/$A17))</f>
        <v>7.9432624113475176</v>
      </c>
      <c r="H43" s="3">
        <f t="shared" si="16"/>
        <v>9.4117647058823533</v>
      </c>
      <c r="I43" s="3">
        <f t="shared" si="16"/>
        <v>10.37037037037037</v>
      </c>
      <c r="J43" s="3">
        <f t="shared" si="16"/>
        <v>13.023255813953488</v>
      </c>
    </row>
    <row r="44" spans="1:10" x14ac:dyDescent="0.3">
      <c r="A44">
        <v>64</v>
      </c>
      <c r="B44" s="3"/>
      <c r="C44" s="3"/>
      <c r="D44" s="3"/>
      <c r="E44" s="3"/>
      <c r="F44" s="3"/>
      <c r="G44" s="3">
        <f t="shared" ref="G44:J44" si="17">1/((G$25/100)+(G$24/100/$A18))</f>
        <v>8.0706179066834807</v>
      </c>
      <c r="H44" s="3">
        <f t="shared" si="17"/>
        <v>9.5952023988006001</v>
      </c>
      <c r="I44" s="3">
        <f t="shared" si="17"/>
        <v>10.596026490066226</v>
      </c>
      <c r="J44" s="3">
        <f t="shared" si="17"/>
        <v>13.389121338912135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Karolis Žilinskas</dc:creator>
  <cp:lastModifiedBy>Karolis Žilinskas</cp:lastModifiedBy>
  <dcterms:created xsi:type="dcterms:W3CDTF">2025-11-25T21:21:56Z</dcterms:created>
  <dcterms:modified xsi:type="dcterms:W3CDTF">2025-11-26T02:16:49Z</dcterms:modified>
</cp:coreProperties>
</file>